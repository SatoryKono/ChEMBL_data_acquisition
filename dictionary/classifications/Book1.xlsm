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currentWork\Dropbox\Work\_science\_projects\05 - ChemBL data mining\dictionary\"/>
    </mc:Choice>
  </mc:AlternateContent>
  <bookViews>
    <workbookView xWindow="0" yWindow="0" windowWidth="28800" windowHeight="1143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6" i="1" l="1"/>
  <c r="V37" i="1"/>
  <c r="V38" i="1"/>
  <c r="V35" i="1"/>
  <c r="Q39" i="1"/>
  <c r="Q38" i="1"/>
  <c r="Q37" i="1"/>
  <c r="Q36" i="1"/>
  <c r="Q35" i="1"/>
  <c r="Q21" i="1"/>
  <c r="Q22" i="1"/>
  <c r="Q23" i="1"/>
  <c r="Q24" i="1"/>
  <c r="Q25" i="1"/>
  <c r="Q26" i="1"/>
  <c r="Q27" i="1"/>
  <c r="Q28" i="1"/>
  <c r="Q29" i="1"/>
  <c r="Q30" i="1"/>
  <c r="Q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2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rgb="FFE2EFD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20:V48"/>
  <sheetViews>
    <sheetView tabSelected="1" topLeftCell="A15" workbookViewId="0">
      <selection activeCell="N42" sqref="N42"/>
    </sheetView>
  </sheetViews>
  <sheetFormatPr defaultRowHeight="15" x14ac:dyDescent="0.25"/>
  <sheetData>
    <row r="20" spans="10:17" ht="15.75" x14ac:dyDescent="0.25">
      <c r="J20" s="1">
        <v>7</v>
      </c>
      <c r="K20" s="1">
        <v>28.57</v>
      </c>
      <c r="L20" t="str">
        <f>TEXT(ROUND(J20/K20,2),"0.00")</f>
        <v>0.25</v>
      </c>
      <c r="O20" s="2">
        <v>7</v>
      </c>
      <c r="P20" s="2">
        <v>25</v>
      </c>
      <c r="Q20" t="str">
        <f>TEXT(ROUND(O20/P20,2),"0.00")</f>
        <v>0.28</v>
      </c>
    </row>
    <row r="21" spans="10:17" ht="15.75" x14ac:dyDescent="0.25">
      <c r="J21" s="1">
        <v>7</v>
      </c>
      <c r="K21" s="1">
        <v>30.62</v>
      </c>
      <c r="L21" t="str">
        <f t="shared" ref="L21:L48" si="0">TEXT(ROUND(J21/K21,2),"0.00")</f>
        <v>0.23</v>
      </c>
      <c r="O21" s="2">
        <v>7</v>
      </c>
      <c r="P21" s="2">
        <v>9</v>
      </c>
      <c r="Q21" t="str">
        <f t="shared" ref="Q21:Q30" si="1">TEXT(ROUND(O21/P21,2),"0.00")</f>
        <v>0.78</v>
      </c>
    </row>
    <row r="22" spans="10:17" ht="15.75" x14ac:dyDescent="0.25">
      <c r="J22" s="1">
        <v>7</v>
      </c>
      <c r="K22" s="1">
        <v>32.630000000000003</v>
      </c>
      <c r="L22" t="str">
        <f t="shared" si="0"/>
        <v>0.21</v>
      </c>
      <c r="O22" s="2">
        <v>7</v>
      </c>
      <c r="P22" s="2">
        <v>19.329999999999998</v>
      </c>
      <c r="Q22" t="str">
        <f t="shared" si="1"/>
        <v>0.36</v>
      </c>
    </row>
    <row r="23" spans="10:17" ht="15.75" x14ac:dyDescent="0.25">
      <c r="J23" s="1">
        <v>7</v>
      </c>
      <c r="K23" s="1">
        <v>33.299999999999997</v>
      </c>
      <c r="L23" t="str">
        <f t="shared" si="0"/>
        <v>0.21</v>
      </c>
      <c r="O23" s="2">
        <v>7</v>
      </c>
      <c r="P23" s="2">
        <v>33.28</v>
      </c>
      <c r="Q23" t="str">
        <f t="shared" si="1"/>
        <v>0.21</v>
      </c>
    </row>
    <row r="24" spans="10:17" ht="15.75" x14ac:dyDescent="0.25">
      <c r="J24" s="1">
        <v>7</v>
      </c>
      <c r="K24" s="1">
        <v>34.200000000000003</v>
      </c>
      <c r="L24" t="str">
        <f t="shared" si="0"/>
        <v>0.20</v>
      </c>
      <c r="O24" s="2">
        <v>7</v>
      </c>
      <c r="P24" s="2">
        <v>35.1</v>
      </c>
      <c r="Q24" t="str">
        <f t="shared" si="1"/>
        <v>0.20</v>
      </c>
    </row>
    <row r="25" spans="10:17" ht="15.75" x14ac:dyDescent="0.25">
      <c r="J25" s="1">
        <v>7</v>
      </c>
      <c r="K25" s="1">
        <v>35.1</v>
      </c>
      <c r="L25" t="str">
        <f t="shared" si="0"/>
        <v>0.20</v>
      </c>
      <c r="O25" s="2">
        <v>7</v>
      </c>
      <c r="P25" s="2">
        <v>38.659999999999997</v>
      </c>
      <c r="Q25" t="str">
        <f t="shared" si="1"/>
        <v>0.18</v>
      </c>
    </row>
    <row r="26" spans="10:17" ht="15.75" x14ac:dyDescent="0.25">
      <c r="J26" s="1">
        <v>7</v>
      </c>
      <c r="K26" s="1">
        <v>35.1</v>
      </c>
      <c r="L26" t="str">
        <f t="shared" si="0"/>
        <v>0.20</v>
      </c>
      <c r="O26" s="2">
        <v>7</v>
      </c>
      <c r="P26" s="2">
        <v>47.1</v>
      </c>
      <c r="Q26" t="str">
        <f t="shared" si="1"/>
        <v>0.15</v>
      </c>
    </row>
    <row r="27" spans="10:17" ht="15.75" x14ac:dyDescent="0.25">
      <c r="J27" s="1">
        <v>7</v>
      </c>
      <c r="K27" s="1">
        <v>35.1</v>
      </c>
      <c r="L27" t="str">
        <f t="shared" si="0"/>
        <v>0.20</v>
      </c>
      <c r="O27" s="2">
        <v>7</v>
      </c>
      <c r="P27" s="2">
        <v>81.8</v>
      </c>
      <c r="Q27" t="str">
        <f t="shared" si="1"/>
        <v>0.09</v>
      </c>
    </row>
    <row r="28" spans="10:17" ht="15.75" x14ac:dyDescent="0.25">
      <c r="J28" s="1">
        <v>7</v>
      </c>
      <c r="K28" s="1">
        <v>35.96</v>
      </c>
      <c r="L28" t="str">
        <f t="shared" si="0"/>
        <v>0.19</v>
      </c>
      <c r="O28" s="2">
        <v>7</v>
      </c>
      <c r="P28" s="1">
        <v>27</v>
      </c>
      <c r="Q28" t="str">
        <f t="shared" si="1"/>
        <v>0.26</v>
      </c>
    </row>
    <row r="29" spans="10:17" ht="15.75" x14ac:dyDescent="0.25">
      <c r="J29" s="1">
        <v>7</v>
      </c>
      <c r="K29" s="1">
        <v>37</v>
      </c>
      <c r="L29" t="str">
        <f t="shared" si="0"/>
        <v>0.19</v>
      </c>
      <c r="O29" s="2">
        <v>7</v>
      </c>
      <c r="P29" s="1">
        <v>27.18</v>
      </c>
      <c r="Q29" t="str">
        <f t="shared" si="1"/>
        <v>0.26</v>
      </c>
    </row>
    <row r="30" spans="10:17" ht="15.75" x14ac:dyDescent="0.25">
      <c r="J30" s="1">
        <v>7</v>
      </c>
      <c r="K30" s="1">
        <v>40.799999999999997</v>
      </c>
      <c r="L30" t="str">
        <f t="shared" si="0"/>
        <v>0.17</v>
      </c>
      <c r="O30" s="2">
        <v>7</v>
      </c>
      <c r="P30" s="1">
        <v>28.14</v>
      </c>
      <c r="Q30" t="str">
        <f t="shared" si="1"/>
        <v>0.25</v>
      </c>
    </row>
    <row r="31" spans="10:17" ht="15.75" x14ac:dyDescent="0.25">
      <c r="J31" s="1">
        <v>7</v>
      </c>
      <c r="K31" s="1">
        <v>40.799999999999997</v>
      </c>
      <c r="L31" t="str">
        <f t="shared" si="0"/>
        <v>0.17</v>
      </c>
    </row>
    <row r="32" spans="10:17" ht="15.75" x14ac:dyDescent="0.25">
      <c r="J32" s="1">
        <v>7</v>
      </c>
      <c r="K32" s="1">
        <v>44.9</v>
      </c>
      <c r="L32" t="str">
        <f t="shared" si="0"/>
        <v>0.16</v>
      </c>
    </row>
    <row r="33" spans="10:22" ht="15.75" x14ac:dyDescent="0.25">
      <c r="J33" s="1">
        <v>7</v>
      </c>
      <c r="K33" s="1">
        <v>44.9</v>
      </c>
      <c r="L33" t="str">
        <f t="shared" si="0"/>
        <v>0.16</v>
      </c>
    </row>
    <row r="34" spans="10:22" ht="15.75" x14ac:dyDescent="0.25">
      <c r="J34" s="1">
        <v>7</v>
      </c>
      <c r="K34" s="1">
        <v>59</v>
      </c>
      <c r="L34" t="str">
        <f t="shared" si="0"/>
        <v>0.12</v>
      </c>
    </row>
    <row r="35" spans="10:22" ht="15.75" x14ac:dyDescent="0.25">
      <c r="J35" s="1">
        <v>7</v>
      </c>
      <c r="K35" s="1">
        <v>61.3</v>
      </c>
      <c r="L35" t="str">
        <f t="shared" si="0"/>
        <v>0.11</v>
      </c>
      <c r="O35" s="3">
        <v>7</v>
      </c>
      <c r="P35" s="3">
        <v>24.6</v>
      </c>
      <c r="Q35" s="3">
        <f>O35/P35</f>
        <v>0.28455284552845528</v>
      </c>
      <c r="T35" s="3">
        <v>7</v>
      </c>
      <c r="U35" s="5">
        <v>31.09</v>
      </c>
      <c r="V35" t="str">
        <f>TEXT(ROUND(T35/U35,2),"0.00")</f>
        <v>0.23</v>
      </c>
    </row>
    <row r="36" spans="10:22" ht="15.75" x14ac:dyDescent="0.25">
      <c r="J36" s="1">
        <v>7</v>
      </c>
      <c r="K36" s="1">
        <v>88.7</v>
      </c>
      <c r="L36" t="str">
        <f t="shared" si="0"/>
        <v>0.08</v>
      </c>
      <c r="O36" s="3">
        <v>7</v>
      </c>
      <c r="P36" s="4">
        <v>6</v>
      </c>
      <c r="Q36" s="3">
        <f t="shared" ref="Q36:Q39" si="2">O36/P36</f>
        <v>1.1666666666666667</v>
      </c>
      <c r="T36" s="3">
        <v>7</v>
      </c>
      <c r="U36" s="6">
        <v>42.9</v>
      </c>
      <c r="V36" t="str">
        <f t="shared" ref="V36:V38" si="3">TEXT(ROUND(T36/U36,2),"0.00")</f>
        <v>0.16</v>
      </c>
    </row>
    <row r="37" spans="10:22" ht="15.75" x14ac:dyDescent="0.25">
      <c r="J37" s="1">
        <v>7</v>
      </c>
      <c r="K37" s="1">
        <v>112.8</v>
      </c>
      <c r="L37" t="str">
        <f t="shared" si="0"/>
        <v>0.06</v>
      </c>
      <c r="O37" s="3">
        <v>7</v>
      </c>
      <c r="P37" s="4">
        <v>15</v>
      </c>
      <c r="Q37" s="3">
        <f t="shared" si="2"/>
        <v>0.46666666666666667</v>
      </c>
      <c r="T37" s="3">
        <v>7</v>
      </c>
      <c r="U37" s="4">
        <v>6</v>
      </c>
      <c r="V37" t="str">
        <f t="shared" si="3"/>
        <v>1.17</v>
      </c>
    </row>
    <row r="38" spans="10:22" ht="15.75" x14ac:dyDescent="0.25">
      <c r="J38" s="1">
        <v>7</v>
      </c>
      <c r="K38" s="1">
        <v>66.7</v>
      </c>
      <c r="L38" t="str">
        <f t="shared" si="0"/>
        <v>0.10</v>
      </c>
      <c r="O38" s="3">
        <v>7</v>
      </c>
      <c r="P38" s="4">
        <v>20.85</v>
      </c>
      <c r="Q38" s="3">
        <f t="shared" si="2"/>
        <v>0.33573141486810548</v>
      </c>
      <c r="T38" s="3">
        <v>7</v>
      </c>
      <c r="U38" s="4">
        <v>43.29</v>
      </c>
      <c r="V38" t="str">
        <f t="shared" si="3"/>
        <v>0.16</v>
      </c>
    </row>
    <row r="39" spans="10:22" ht="15.75" x14ac:dyDescent="0.25">
      <c r="J39" s="1">
        <v>7</v>
      </c>
      <c r="K39" s="1">
        <v>21.54</v>
      </c>
      <c r="L39" t="str">
        <f t="shared" si="0"/>
        <v>0.32</v>
      </c>
      <c r="O39" s="3">
        <v>7</v>
      </c>
      <c r="P39" s="4">
        <v>22.43</v>
      </c>
      <c r="Q39" s="3">
        <f t="shared" si="2"/>
        <v>0.3120820329915292</v>
      </c>
    </row>
    <row r="40" spans="10:22" ht="15.75" x14ac:dyDescent="0.25">
      <c r="J40" s="1">
        <v>7</v>
      </c>
      <c r="K40" s="1">
        <v>27.47</v>
      </c>
      <c r="L40" t="str">
        <f t="shared" si="0"/>
        <v>0.25</v>
      </c>
    </row>
    <row r="41" spans="10:22" ht="15.75" x14ac:dyDescent="0.25">
      <c r="J41" s="1">
        <v>7</v>
      </c>
      <c r="K41" s="1">
        <v>27.95</v>
      </c>
      <c r="L41" t="str">
        <f t="shared" si="0"/>
        <v>0.25</v>
      </c>
    </row>
    <row r="42" spans="10:22" ht="15.75" x14ac:dyDescent="0.25">
      <c r="J42" s="1">
        <v>7</v>
      </c>
      <c r="K42" s="1">
        <v>38.700000000000003</v>
      </c>
      <c r="L42" t="str">
        <f t="shared" si="0"/>
        <v>0.18</v>
      </c>
    </row>
    <row r="43" spans="10:22" ht="15.75" x14ac:dyDescent="0.25">
      <c r="J43" s="1">
        <v>7</v>
      </c>
      <c r="K43" s="1">
        <v>39.19</v>
      </c>
      <c r="L43" t="str">
        <f t="shared" si="0"/>
        <v>0.18</v>
      </c>
    </row>
    <row r="44" spans="10:22" ht="15.75" x14ac:dyDescent="0.25">
      <c r="J44" s="1">
        <v>7</v>
      </c>
      <c r="K44" s="1">
        <v>51.5</v>
      </c>
      <c r="L44" t="str">
        <f t="shared" si="0"/>
        <v>0.14</v>
      </c>
    </row>
    <row r="45" spans="10:22" ht="15.75" x14ac:dyDescent="0.25">
      <c r="J45" s="1">
        <v>7</v>
      </c>
      <c r="K45" s="1">
        <v>51.5</v>
      </c>
      <c r="L45" t="str">
        <f t="shared" si="0"/>
        <v>0.14</v>
      </c>
    </row>
    <row r="46" spans="10:22" ht="15.75" x14ac:dyDescent="0.25">
      <c r="J46" s="1">
        <v>7</v>
      </c>
      <c r="K46" s="1">
        <v>51.5</v>
      </c>
      <c r="L46" t="str">
        <f t="shared" si="0"/>
        <v>0.14</v>
      </c>
    </row>
    <row r="47" spans="10:22" ht="15.75" x14ac:dyDescent="0.25">
      <c r="J47" s="1">
        <v>7</v>
      </c>
      <c r="K47" s="1">
        <v>53.8</v>
      </c>
      <c r="L47" t="str">
        <f t="shared" si="0"/>
        <v>0.13</v>
      </c>
    </row>
    <row r="48" spans="10:22" ht="15.75" x14ac:dyDescent="0.25">
      <c r="J48" s="1">
        <v>7</v>
      </c>
      <c r="K48" s="1">
        <v>66.7</v>
      </c>
      <c r="L48" t="str">
        <f t="shared" si="0"/>
        <v>0.10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</dc:creator>
  <cp:lastModifiedBy>Fedor</cp:lastModifiedBy>
  <dcterms:created xsi:type="dcterms:W3CDTF">2025-07-15T11:24:14Z</dcterms:created>
  <dcterms:modified xsi:type="dcterms:W3CDTF">2025-07-15T14:02:26Z</dcterms:modified>
</cp:coreProperties>
</file>